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mn\Desktop\KCA MDA\Y1 SEM2\ML\Assignment\"/>
    </mc:Choice>
  </mc:AlternateContent>
  <xr:revisionPtr revIDLastSave="0" documentId="13_ncr:1_{29E93FD9-20F2-4A75-92DC-E0F35D474328}" xr6:coauthVersionLast="41" xr6:coauthVersionMax="41" xr10:uidLastSave="{00000000-0000-0000-0000-000000000000}"/>
  <bookViews>
    <workbookView xWindow="-120" yWindow="-120" windowWidth="20640" windowHeight="11040" activeTab="1" xr2:uid="{5C861714-6F93-4FFE-986C-290FD6E2AD50}"/>
  </bookViews>
  <sheets>
    <sheet name="python" sheetId="6" r:id="rId1"/>
    <sheet name="test" sheetId="9" r:id="rId2"/>
    <sheet name="tree" sheetId="7" r:id="rId3"/>
    <sheet name="Raw" sheetId="5" r:id="rId4"/>
    <sheet name="Outlook" sheetId="2" r:id="rId5"/>
    <sheet name="Temp" sheetId="1" r:id="rId6"/>
    <sheet name="Humid" sheetId="3" r:id="rId7"/>
    <sheet name="Wind" sheetId="4" r:id="rId8"/>
    <sheet name="Sheet2" sheetId="8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5" i="4" l="1"/>
  <c r="H12" i="4"/>
  <c r="I12" i="4" s="1"/>
  <c r="K12" i="4" s="1"/>
  <c r="H7" i="4"/>
  <c r="J7" i="4" s="1"/>
  <c r="L7" i="4" s="1"/>
  <c r="H4" i="4"/>
  <c r="H3" i="4"/>
  <c r="L14" i="3"/>
  <c r="H11" i="3"/>
  <c r="I11" i="3" s="1"/>
  <c r="H6" i="3"/>
  <c r="J6" i="3" s="1"/>
  <c r="L6" i="3" s="1"/>
  <c r="H3" i="3"/>
  <c r="H2" i="3"/>
  <c r="L19" i="1"/>
  <c r="H16" i="1"/>
  <c r="J16" i="1" s="1"/>
  <c r="L16" i="1" s="1"/>
  <c r="J12" i="1"/>
  <c r="L12" i="1" s="1"/>
  <c r="I12" i="1"/>
  <c r="K12" i="1" s="1"/>
  <c r="H12" i="1"/>
  <c r="H7" i="1"/>
  <c r="J7" i="1" s="1"/>
  <c r="L7" i="1" s="1"/>
  <c r="H4" i="1"/>
  <c r="H3" i="1"/>
  <c r="H2" i="1"/>
  <c r="L16" i="2"/>
  <c r="H4" i="2"/>
  <c r="H5" i="2"/>
  <c r="H3" i="2"/>
  <c r="H13" i="2"/>
  <c r="J13" i="2" s="1"/>
  <c r="L13" i="2" s="1"/>
  <c r="H8" i="2"/>
  <c r="J8" i="2" s="1"/>
  <c r="L8" i="2" s="1"/>
  <c r="O3" i="5"/>
  <c r="L2" i="5"/>
  <c r="N2" i="5" s="1"/>
  <c r="M2" i="5"/>
  <c r="O2" i="5" s="1"/>
  <c r="J12" i="4" l="1"/>
  <c r="L12" i="4" s="1"/>
  <c r="L13" i="4" s="1"/>
  <c r="I7" i="4"/>
  <c r="K11" i="3"/>
  <c r="J11" i="3"/>
  <c r="L11" i="3" s="1"/>
  <c r="I6" i="3"/>
  <c r="I16" i="1"/>
  <c r="L13" i="1"/>
  <c r="I7" i="1"/>
  <c r="I8" i="2"/>
  <c r="I13" i="2"/>
  <c r="K7" i="4" l="1"/>
  <c r="L8" i="4" s="1"/>
  <c r="L12" i="3"/>
  <c r="K6" i="3"/>
  <c r="L7" i="3" s="1"/>
  <c r="K16" i="1"/>
  <c r="L17" i="1" s="1"/>
  <c r="K7" i="1"/>
  <c r="L8" i="1" s="1"/>
  <c r="K8" i="2"/>
  <c r="L9" i="2"/>
  <c r="K13" i="2"/>
  <c r="L14" i="2" s="1"/>
</calcChain>
</file>

<file path=xl/sharedStrings.xml><?xml version="1.0" encoding="utf-8"?>
<sst xmlns="http://schemas.openxmlformats.org/spreadsheetml/2006/main" count="512" uniqueCount="59">
  <si>
    <t>Day</t>
  </si>
  <si>
    <t>Outlook</t>
  </si>
  <si>
    <t>Temp</t>
  </si>
  <si>
    <t>Humid</t>
  </si>
  <si>
    <t>Wind</t>
  </si>
  <si>
    <t>PlayTennis?</t>
  </si>
  <si>
    <t>d1</t>
  </si>
  <si>
    <t>sunny</t>
  </si>
  <si>
    <t>hot</t>
  </si>
  <si>
    <t>high</t>
  </si>
  <si>
    <t>weak</t>
  </si>
  <si>
    <t>no</t>
  </si>
  <si>
    <t>d2</t>
  </si>
  <si>
    <t>strong</t>
  </si>
  <si>
    <t>d3</t>
  </si>
  <si>
    <t>overcast</t>
  </si>
  <si>
    <t>yes</t>
  </si>
  <si>
    <t>d4</t>
  </si>
  <si>
    <t>rainy</t>
  </si>
  <si>
    <t>medium</t>
  </si>
  <si>
    <t>d5</t>
  </si>
  <si>
    <t>cool</t>
  </si>
  <si>
    <t>normal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</si>
  <si>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</si>
  <si>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</si>
  <si>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</si>
  <si>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</si>
  <si>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</si>
  <si>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</si>
  <si>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</si>
  <si>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</si>
  <si>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</si>
  <si>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Values for outlook=Sunny, Overcast, Rainy</t>
  </si>
  <si>
    <t>Values for Temp=hot,medium,cool</t>
  </si>
  <si>
    <t>Values for Humid=high,normal</t>
  </si>
  <si>
    <t>Values for Wind=weak, strong</t>
  </si>
  <si>
    <t>Gain splitting on Outlook</t>
  </si>
  <si>
    <t>Entropy Calculation</t>
  </si>
  <si>
    <t>S[9+,5-]</t>
  </si>
  <si>
    <t>log(P)</t>
  </si>
  <si>
    <t>log(N)</t>
  </si>
  <si>
    <t>N</t>
  </si>
  <si>
    <t>P</t>
  </si>
  <si>
    <t>(P+N)</t>
  </si>
  <si>
    <t>p(P)</t>
  </si>
  <si>
    <t>p(N)</t>
  </si>
  <si>
    <t>(E(S) = - p(P)log2 p(P) – p(N)log2 p(N)</t>
  </si>
  <si>
    <t>S_rainy=[3+,2]</t>
  </si>
  <si>
    <t>S_overcast=[4+]</t>
  </si>
  <si>
    <t>S_sunny=[2+,3-]</t>
  </si>
  <si>
    <t>Information Gain</t>
  </si>
  <si>
    <t>S_hot=[2+,2-]</t>
  </si>
  <si>
    <t>S_medium=[4+,2-]</t>
  </si>
  <si>
    <t>S_cool=[3+,1]</t>
  </si>
  <si>
    <t>S_high=[3+,4-]</t>
  </si>
  <si>
    <t>S_normal=[6+,1-]</t>
  </si>
  <si>
    <t>S_weak=[6+,2-]</t>
  </si>
  <si>
    <t>S_strong=[3+,3-]</t>
  </si>
  <si>
    <t>PlayTennis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</si>
</sst>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i/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2" xfId="0" applyFont="1" applyFill="1" applyBorder="1"/>
    <xf numFmtId="0" fontId="3" fillId="2" borderId="1" xfId="0" applyFont="1" applyFill="1" applyBorder="1"/>
    <xf numFmtId="0" fontId="0" fillId="0" borderId="0" xfId="0" applyFont="1"/>
    <xf numFmtId="0" fontId="3" fillId="3" borderId="1" xfId="0" applyFont="1" applyFill="1" applyBorder="1"/>
    <xf numFmtId="0" fontId="3" fillId="4" borderId="1" xfId="0" applyFont="1" applyFill="1" applyBorder="1"/>
    <xf numFmtId="0" fontId="2" fillId="0" borderId="0" xfId="0" applyFont="1"/>
    <xf numFmtId="0" fontId="3" fillId="0" borderId="0" xfId="0" applyFont="1"/>
    <xf numFmtId="164" fontId="6" fillId="0" borderId="1" xfId="0" applyNumberFormat="1" applyFont="1" applyBorder="1"/>
    <xf numFmtId="0" fontId="3" fillId="0" borderId="1" xfId="0" applyFont="1" applyFill="1" applyBorder="1"/>
    <xf numFmtId="0" fontId="5" fillId="0" borderId="1" xfId="0" applyFont="1" applyFill="1" applyBorder="1" applyAlignment="1"/>
    <xf numFmtId="0" fontId="5" fillId="0" borderId="1" xfId="0" applyFont="1" applyBorder="1" applyAlignment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3" xfId="0" applyFont="1" applyFill="1" applyBorder="1" applyAlignment="1"/>
    <xf numFmtId="0" fontId="5" fillId="0" borderId="4" xfId="0" applyFont="1" applyFill="1" applyBorder="1" applyAlignment="1"/>
    <xf numFmtId="0" fontId="5" fillId="0" borderId="5" xfId="0" applyFont="1" applyFill="1" applyBorder="1" applyAlignmen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180975</xdr:colOff>
      <xdr:row>19</xdr:row>
      <xdr:rowOff>189604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BC6C5B-6FD0-4A04-91C4-55FE334AD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38575" cy="3809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34BF7-65D5-42D7-A638-A5963795575A}">
  <dimension ref="A1:F15"/>
  <sheetViews>
    <sheetView workbookViewId="0">
      <selection sqref="A1:F15"/>
    </sheetView>
  </sheetViews>
  <sheetFormatPr defaultRowHeight="15.75" x14ac:dyDescent="0.25"/>
  <cols>
    <col min="1" max="2" width="9.140625" style="11"/>
    <col min="3" max="5" width="9.140625" style="11" customWidth="1"/>
    <col min="6" max="6" width="12.7109375" style="11" bestFit="1" customWidth="1"/>
    <col min="7" max="16384" width="9.140625" style="11"/>
  </cols>
  <sheetData>
    <row r="1" spans="1:6" s="10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58</v>
      </c>
    </row>
    <row r="2" spans="1:6" x14ac:dyDescent="0.25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spans="1:6" x14ac:dyDescent="0.25">
      <c r="A3" s="4" t="s">
        <v>12</v>
      </c>
      <c r="B3" s="4" t="s">
        <v>7</v>
      </c>
      <c r="C3" s="4" t="s">
        <v>8</v>
      </c>
      <c r="D3" s="4" t="s">
        <v>9</v>
      </c>
      <c r="E3" s="4" t="s">
        <v>13</v>
      </c>
      <c r="F3" s="4" t="s">
        <v>11</v>
      </c>
    </row>
    <row r="4" spans="1:6" x14ac:dyDescent="0.25">
      <c r="A4" s="4" t="s">
        <v>14</v>
      </c>
      <c r="B4" s="4" t="s">
        <v>15</v>
      </c>
      <c r="C4" s="4" t="s">
        <v>8</v>
      </c>
      <c r="D4" s="4" t="s">
        <v>9</v>
      </c>
      <c r="E4" s="4" t="s">
        <v>10</v>
      </c>
      <c r="F4" s="4" t="s">
        <v>16</v>
      </c>
    </row>
    <row r="5" spans="1:6" x14ac:dyDescent="0.25">
      <c r="A5" s="4" t="s">
        <v>17</v>
      </c>
      <c r="B5" s="4" t="s">
        <v>18</v>
      </c>
      <c r="C5" s="4" t="s">
        <v>19</v>
      </c>
      <c r="D5" s="4" t="s">
        <v>9</v>
      </c>
      <c r="E5" s="4" t="s">
        <v>10</v>
      </c>
      <c r="F5" s="4" t="s">
        <v>16</v>
      </c>
    </row>
    <row r="6" spans="1:6" x14ac:dyDescent="0.25">
      <c r="A6" s="4" t="s">
        <v>20</v>
      </c>
      <c r="B6" s="4" t="s">
        <v>18</v>
      </c>
      <c r="C6" s="4" t="s">
        <v>21</v>
      </c>
      <c r="D6" s="4" t="s">
        <v>22</v>
      </c>
      <c r="E6" s="4" t="s">
        <v>10</v>
      </c>
      <c r="F6" s="4" t="s">
        <v>16</v>
      </c>
    </row>
    <row r="7" spans="1:6" x14ac:dyDescent="0.25">
      <c r="A7" s="4" t="s">
        <v>23</v>
      </c>
      <c r="B7" s="4" t="s">
        <v>18</v>
      </c>
      <c r="C7" s="4" t="s">
        <v>21</v>
      </c>
      <c r="D7" s="4" t="s">
        <v>22</v>
      </c>
      <c r="E7" s="4" t="s">
        <v>13</v>
      </c>
      <c r="F7" s="4" t="s">
        <v>11</v>
      </c>
    </row>
    <row r="8" spans="1:6" x14ac:dyDescent="0.25">
      <c r="A8" s="4" t="s">
        <v>24</v>
      </c>
      <c r="B8" s="4" t="s">
        <v>15</v>
      </c>
      <c r="C8" s="4" t="s">
        <v>21</v>
      </c>
      <c r="D8" s="4" t="s">
        <v>22</v>
      </c>
      <c r="E8" s="4" t="s">
        <v>13</v>
      </c>
      <c r="F8" s="4" t="s">
        <v>16</v>
      </c>
    </row>
    <row r="9" spans="1:6" x14ac:dyDescent="0.25">
      <c r="A9" s="4" t="s">
        <v>25</v>
      </c>
      <c r="B9" s="4" t="s">
        <v>7</v>
      </c>
      <c r="C9" s="4" t="s">
        <v>19</v>
      </c>
      <c r="D9" s="4" t="s">
        <v>9</v>
      </c>
      <c r="E9" s="4" t="s">
        <v>10</v>
      </c>
      <c r="F9" s="4" t="s">
        <v>11</v>
      </c>
    </row>
    <row r="10" spans="1:6" x14ac:dyDescent="0.25">
      <c r="A10" s="4" t="s">
        <v>26</v>
      </c>
      <c r="B10" s="4" t="s">
        <v>7</v>
      </c>
      <c r="C10" s="4" t="s">
        <v>21</v>
      </c>
      <c r="D10" s="4" t="s">
        <v>22</v>
      </c>
      <c r="E10" s="4" t="s">
        <v>10</v>
      </c>
      <c r="F10" s="4" t="s">
        <v>16</v>
      </c>
    </row>
    <row r="11" spans="1:6" x14ac:dyDescent="0.25">
      <c r="A11" s="4" t="s">
        <v>27</v>
      </c>
      <c r="B11" s="4" t="s">
        <v>18</v>
      </c>
      <c r="C11" s="4" t="s">
        <v>19</v>
      </c>
      <c r="D11" s="4" t="s">
        <v>22</v>
      </c>
      <c r="E11" s="4" t="s">
        <v>10</v>
      </c>
      <c r="F11" s="4" t="s">
        <v>16</v>
      </c>
    </row>
    <row r="12" spans="1:6" x14ac:dyDescent="0.25">
      <c r="A12" s="4" t="s">
        <v>28</v>
      </c>
      <c r="B12" s="4" t="s">
        <v>7</v>
      </c>
      <c r="C12" s="4" t="s">
        <v>19</v>
      </c>
      <c r="D12" s="4" t="s">
        <v>22</v>
      </c>
      <c r="E12" s="4" t="s">
        <v>13</v>
      </c>
      <c r="F12" s="4" t="s">
        <v>16</v>
      </c>
    </row>
    <row r="13" spans="1:6" x14ac:dyDescent="0.25">
      <c r="A13" s="4" t="s">
        <v>29</v>
      </c>
      <c r="B13" s="4" t="s">
        <v>15</v>
      </c>
      <c r="C13" s="4" t="s">
        <v>19</v>
      </c>
      <c r="D13" s="4" t="s">
        <v>9</v>
      </c>
      <c r="E13" s="4" t="s">
        <v>13</v>
      </c>
      <c r="F13" s="4" t="s">
        <v>16</v>
      </c>
    </row>
    <row r="14" spans="1:6" x14ac:dyDescent="0.25">
      <c r="A14" s="4" t="s">
        <v>30</v>
      </c>
      <c r="B14" s="4" t="s">
        <v>15</v>
      </c>
      <c r="C14" s="4" t="s">
        <v>8</v>
      </c>
      <c r="D14" s="4" t="s">
        <v>22</v>
      </c>
      <c r="E14" s="4" t="s">
        <v>10</v>
      </c>
      <c r="F14" s="4" t="s">
        <v>16</v>
      </c>
    </row>
    <row r="15" spans="1:6" x14ac:dyDescent="0.25">
      <c r="A15" s="4" t="s">
        <v>31</v>
      </c>
      <c r="B15" s="4" t="s">
        <v>18</v>
      </c>
      <c r="C15" s="4" t="s">
        <v>19</v>
      </c>
      <c r="D15" s="4" t="s">
        <v>9</v>
      </c>
      <c r="E15" s="4" t="s">
        <v>13</v>
      </c>
      <c r="F15" s="4" t="s">
        <v>11</v>
      </c>
    </row>
  </sheetData>
  <conditionalFormatting sqref="F1:F15">
    <cfRule type="containsText" dxfId="30" priority="1" operator="containsText" text="no">
      <formula>NOT(ISERROR(SEARCH("no",F1)))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82D41-9286-491E-AC21-5C7C81BDF6F3}">
  <dimension ref="A1:F5"/>
  <sheetViews>
    <sheetView tabSelected="1" workbookViewId="0">
      <selection activeCell="D4" sqref="D4"/>
    </sheetView>
  </sheetViews>
  <sheetFormatPr defaultRowHeight="15" x14ac:dyDescent="0.25"/>
  <sheetData>
    <row r="1" spans="1:6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58</v>
      </c>
    </row>
    <row r="2" spans="1:6" ht="15.75" x14ac:dyDescent="0.25">
      <c r="A2" s="4" t="s">
        <v>6</v>
      </c>
      <c r="B2" s="4" t="s">
        <v>7</v>
      </c>
      <c r="C2" s="4" t="s">
        <v>21</v>
      </c>
      <c r="D2" s="4" t="s">
        <v>22</v>
      </c>
      <c r="E2" s="4" t="s">
        <v>13</v>
      </c>
      <c r="F2" s="4" t="s">
        <v>16</v>
      </c>
    </row>
    <row r="3" spans="1:6" ht="15.75" x14ac:dyDescent="0.25">
      <c r="A3" s="4" t="s">
        <v>12</v>
      </c>
      <c r="B3" s="4" t="s">
        <v>7</v>
      </c>
      <c r="C3" s="4" t="s">
        <v>8</v>
      </c>
      <c r="D3" s="4" t="s">
        <v>9</v>
      </c>
      <c r="E3" s="4" t="s">
        <v>13</v>
      </c>
      <c r="F3" s="4" t="s">
        <v>11</v>
      </c>
    </row>
    <row r="4" spans="1:6" ht="15.75" x14ac:dyDescent="0.25">
      <c r="A4" s="4" t="s">
        <v>14</v>
      </c>
      <c r="B4" s="4" t="s">
        <v>15</v>
      </c>
      <c r="C4" s="4" t="s">
        <v>19</v>
      </c>
      <c r="D4" s="4" t="s">
        <v>9</v>
      </c>
      <c r="E4" s="4" t="s">
        <v>10</v>
      </c>
      <c r="F4" s="4" t="s">
        <v>16</v>
      </c>
    </row>
    <row r="5" spans="1:6" ht="15.75" x14ac:dyDescent="0.25">
      <c r="A5" s="4" t="s">
        <v>17</v>
      </c>
      <c r="B5" s="4" t="s">
        <v>18</v>
      </c>
      <c r="C5" s="4" t="s">
        <v>21</v>
      </c>
      <c r="D5" s="4" t="s">
        <v>22</v>
      </c>
      <c r="E5" s="4" t="s">
        <v>13</v>
      </c>
      <c r="F5" s="4" t="s">
        <v>11</v>
      </c>
    </row>
  </sheetData>
  <conditionalFormatting sqref="F1:F5">
    <cfRule type="containsText" dxfId="29" priority="1" operator="containsText" text="no">
      <formula>NOT(ISERROR(SEARCH("no",F1)))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B3802-C7B4-4AA9-948A-05D9354D8112}">
  <dimension ref="A1"/>
  <sheetViews>
    <sheetView workbookViewId="0">
      <selection activeCell="K16" sqref="K1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940CB-4301-4CAE-8BCE-F14823E5874A}">
  <dimension ref="A1:O15"/>
  <sheetViews>
    <sheetView workbookViewId="0">
      <selection activeCell="I13" sqref="I13"/>
    </sheetView>
  </sheetViews>
  <sheetFormatPr defaultRowHeight="15.75" x14ac:dyDescent="0.25"/>
  <cols>
    <col min="1" max="2" width="9.140625" style="11"/>
    <col min="3" max="5" width="9.140625" style="11" customWidth="1"/>
    <col min="6" max="6" width="12.7109375" style="11" bestFit="1" customWidth="1"/>
    <col min="7" max="7" width="9.140625" style="11"/>
    <col min="8" max="8" width="20.140625" style="11" bestFit="1" customWidth="1"/>
    <col min="9" max="14" width="9.140625" style="11"/>
    <col min="15" max="15" width="10.5703125" style="11" bestFit="1" customWidth="1"/>
    <col min="16" max="16384" width="9.140625" style="11"/>
  </cols>
  <sheetData>
    <row r="1" spans="1:15" s="10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I1" s="3" t="s">
        <v>42</v>
      </c>
      <c r="J1" s="3" t="s">
        <v>41</v>
      </c>
      <c r="K1" s="3" t="s">
        <v>43</v>
      </c>
      <c r="L1" s="3" t="s">
        <v>44</v>
      </c>
      <c r="M1" s="3" t="s">
        <v>45</v>
      </c>
      <c r="N1" s="3" t="s">
        <v>39</v>
      </c>
      <c r="O1" s="3" t="s">
        <v>40</v>
      </c>
    </row>
    <row r="2" spans="1:15" x14ac:dyDescent="0.25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H2" s="3" t="s">
        <v>38</v>
      </c>
      <c r="I2" s="4">
        <v>9</v>
      </c>
      <c r="J2" s="4">
        <v>5</v>
      </c>
      <c r="K2" s="4">
        <v>14</v>
      </c>
      <c r="L2" s="4">
        <f>I2/(J2+I2)</f>
        <v>0.6428571428571429</v>
      </c>
      <c r="M2" s="4">
        <f>J2/(J2+I2)</f>
        <v>0.35714285714285715</v>
      </c>
      <c r="N2" s="4">
        <f>LOG(L2,2)</f>
        <v>-0.63742992061529169</v>
      </c>
      <c r="O2" s="4">
        <f>LOG(M2,2)</f>
        <v>-1.4854268271702415</v>
      </c>
    </row>
    <row r="3" spans="1:15" ht="20.25" x14ac:dyDescent="0.3">
      <c r="A3" s="4" t="s">
        <v>12</v>
      </c>
      <c r="B3" s="4" t="s">
        <v>7</v>
      </c>
      <c r="C3" s="4" t="s">
        <v>8</v>
      </c>
      <c r="D3" s="4" t="s">
        <v>9</v>
      </c>
      <c r="E3" s="4" t="s">
        <v>13</v>
      </c>
      <c r="F3" s="4" t="s">
        <v>11</v>
      </c>
      <c r="H3" s="3" t="s">
        <v>37</v>
      </c>
      <c r="I3" s="14" t="s">
        <v>46</v>
      </c>
      <c r="J3" s="15"/>
      <c r="K3" s="15"/>
      <c r="L3" s="15"/>
      <c r="M3" s="15"/>
      <c r="N3" s="15"/>
      <c r="O3" s="12">
        <f>-L2*N2-M2*O2</f>
        <v>0.94028595867063092</v>
      </c>
    </row>
    <row r="4" spans="1:15" x14ac:dyDescent="0.25">
      <c r="A4" s="4" t="s">
        <v>14</v>
      </c>
      <c r="B4" s="4" t="s">
        <v>15</v>
      </c>
      <c r="C4" s="4" t="s">
        <v>8</v>
      </c>
      <c r="D4" s="4" t="s">
        <v>9</v>
      </c>
      <c r="E4" s="4" t="s">
        <v>10</v>
      </c>
      <c r="F4" s="4" t="s">
        <v>16</v>
      </c>
    </row>
    <row r="5" spans="1:15" x14ac:dyDescent="0.25">
      <c r="A5" s="4" t="s">
        <v>17</v>
      </c>
      <c r="B5" s="4" t="s">
        <v>18</v>
      </c>
      <c r="C5" s="4" t="s">
        <v>19</v>
      </c>
      <c r="D5" s="4" t="s">
        <v>9</v>
      </c>
      <c r="E5" s="4" t="s">
        <v>10</v>
      </c>
      <c r="F5" s="4" t="s">
        <v>16</v>
      </c>
    </row>
    <row r="6" spans="1:15" x14ac:dyDescent="0.25">
      <c r="A6" s="4" t="s">
        <v>20</v>
      </c>
      <c r="B6" s="4" t="s">
        <v>18</v>
      </c>
      <c r="C6" s="4" t="s">
        <v>21</v>
      </c>
      <c r="D6" s="4" t="s">
        <v>22</v>
      </c>
      <c r="E6" s="4" t="s">
        <v>10</v>
      </c>
      <c r="F6" s="4" t="s">
        <v>16</v>
      </c>
    </row>
    <row r="7" spans="1:15" x14ac:dyDescent="0.25">
      <c r="A7" s="4" t="s">
        <v>23</v>
      </c>
      <c r="B7" s="4" t="s">
        <v>18</v>
      </c>
      <c r="C7" s="4" t="s">
        <v>21</v>
      </c>
      <c r="D7" s="4" t="s">
        <v>22</v>
      </c>
      <c r="E7" s="4" t="s">
        <v>13</v>
      </c>
      <c r="F7" s="4" t="s">
        <v>11</v>
      </c>
    </row>
    <row r="8" spans="1:15" x14ac:dyDescent="0.25">
      <c r="A8" s="4" t="s">
        <v>24</v>
      </c>
      <c r="B8" s="4" t="s">
        <v>15</v>
      </c>
      <c r="C8" s="4" t="s">
        <v>21</v>
      </c>
      <c r="D8" s="4" t="s">
        <v>22</v>
      </c>
      <c r="E8" s="4" t="s">
        <v>13</v>
      </c>
      <c r="F8" s="4" t="s">
        <v>16</v>
      </c>
    </row>
    <row r="9" spans="1:15" x14ac:dyDescent="0.25">
      <c r="A9" s="4" t="s">
        <v>25</v>
      </c>
      <c r="B9" s="4" t="s">
        <v>7</v>
      </c>
      <c r="C9" s="4" t="s">
        <v>19</v>
      </c>
      <c r="D9" s="4" t="s">
        <v>9</v>
      </c>
      <c r="E9" s="4" t="s">
        <v>10</v>
      </c>
      <c r="F9" s="4" t="s">
        <v>11</v>
      </c>
    </row>
    <row r="10" spans="1:15" x14ac:dyDescent="0.25">
      <c r="A10" s="4" t="s">
        <v>26</v>
      </c>
      <c r="B10" s="4" t="s">
        <v>7</v>
      </c>
      <c r="C10" s="4" t="s">
        <v>21</v>
      </c>
      <c r="D10" s="4" t="s">
        <v>22</v>
      </c>
      <c r="E10" s="4" t="s">
        <v>10</v>
      </c>
      <c r="F10" s="4" t="s">
        <v>16</v>
      </c>
    </row>
    <row r="11" spans="1:15" x14ac:dyDescent="0.25">
      <c r="A11" s="4" t="s">
        <v>27</v>
      </c>
      <c r="B11" s="4" t="s">
        <v>18</v>
      </c>
      <c r="C11" s="4" t="s">
        <v>19</v>
      </c>
      <c r="D11" s="4" t="s">
        <v>22</v>
      </c>
      <c r="E11" s="4" t="s">
        <v>10</v>
      </c>
      <c r="F11" s="4" t="s">
        <v>16</v>
      </c>
    </row>
    <row r="12" spans="1:15" x14ac:dyDescent="0.25">
      <c r="A12" s="4" t="s">
        <v>28</v>
      </c>
      <c r="B12" s="4" t="s">
        <v>7</v>
      </c>
      <c r="C12" s="4" t="s">
        <v>19</v>
      </c>
      <c r="D12" s="4" t="s">
        <v>22</v>
      </c>
      <c r="E12" s="4" t="s">
        <v>13</v>
      </c>
      <c r="F12" s="4" t="s">
        <v>16</v>
      </c>
    </row>
    <row r="13" spans="1:15" x14ac:dyDescent="0.25">
      <c r="A13" s="4" t="s">
        <v>29</v>
      </c>
      <c r="B13" s="4" t="s">
        <v>15</v>
      </c>
      <c r="C13" s="4" t="s">
        <v>19</v>
      </c>
      <c r="D13" s="4" t="s">
        <v>9</v>
      </c>
      <c r="E13" s="4" t="s">
        <v>13</v>
      </c>
      <c r="F13" s="4" t="s">
        <v>16</v>
      </c>
    </row>
    <row r="14" spans="1:15" x14ac:dyDescent="0.25">
      <c r="A14" s="4" t="s">
        <v>30</v>
      </c>
      <c r="B14" s="4" t="s">
        <v>15</v>
      </c>
      <c r="C14" s="4" t="s">
        <v>8</v>
      </c>
      <c r="D14" s="4" t="s">
        <v>22</v>
      </c>
      <c r="E14" s="4" t="s">
        <v>10</v>
      </c>
      <c r="F14" s="4" t="s">
        <v>16</v>
      </c>
    </row>
    <row r="15" spans="1:15" x14ac:dyDescent="0.25">
      <c r="A15" s="4" t="s">
        <v>31</v>
      </c>
      <c r="B15" s="4" t="s">
        <v>18</v>
      </c>
      <c r="C15" s="4" t="s">
        <v>19</v>
      </c>
      <c r="D15" s="4" t="s">
        <v>9</v>
      </c>
      <c r="E15" s="4" t="s">
        <v>13</v>
      </c>
      <c r="F15" s="4" t="s">
        <v>11</v>
      </c>
    </row>
  </sheetData>
  <mergeCells count="1">
    <mergeCell ref="I3:N3"/>
  </mergeCells>
  <conditionalFormatting sqref="F1:F15 I3">
    <cfRule type="containsText" dxfId="28" priority="1" operator="containsText" text="no">
      <formula>NOT(ISERROR(SEARCH("no",F1)))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E1BB1-DD48-44DB-B861-796DA27EAB09}">
  <dimension ref="A1:L16"/>
  <sheetViews>
    <sheetView workbookViewId="0">
      <selection activeCell="E14" sqref="E14"/>
    </sheetView>
  </sheetViews>
  <sheetFormatPr defaultRowHeight="15" x14ac:dyDescent="0.25"/>
  <cols>
    <col min="3" max="3" width="12.7109375" bestFit="1" customWidth="1"/>
    <col min="5" max="5" width="39.5703125" bestFit="1" customWidth="1"/>
    <col min="12" max="12" width="14.5703125" bestFit="1" customWidth="1"/>
  </cols>
  <sheetData>
    <row r="1" spans="1:12" ht="15.75" x14ac:dyDescent="0.25">
      <c r="A1" s="3" t="s">
        <v>0</v>
      </c>
      <c r="B1" s="3" t="s">
        <v>1</v>
      </c>
      <c r="C1" s="3" t="s">
        <v>5</v>
      </c>
      <c r="E1" s="16" t="s">
        <v>36</v>
      </c>
      <c r="F1" s="16"/>
      <c r="G1" s="16"/>
      <c r="H1" s="16"/>
      <c r="I1" s="16"/>
      <c r="J1" s="16"/>
      <c r="K1" s="16"/>
      <c r="L1" s="16"/>
    </row>
    <row r="2" spans="1:12" ht="15.75" x14ac:dyDescent="0.25">
      <c r="A2" s="4" t="s">
        <v>6</v>
      </c>
      <c r="B2" s="6" t="s">
        <v>7</v>
      </c>
      <c r="C2" s="4" t="s">
        <v>11</v>
      </c>
      <c r="E2" s="13" t="s">
        <v>32</v>
      </c>
      <c r="F2" s="3" t="s">
        <v>42</v>
      </c>
      <c r="G2" s="3" t="s">
        <v>41</v>
      </c>
      <c r="H2" s="3" t="s">
        <v>44</v>
      </c>
    </row>
    <row r="3" spans="1:12" ht="15.75" x14ac:dyDescent="0.25">
      <c r="A3" s="4" t="s">
        <v>12</v>
      </c>
      <c r="B3" s="6" t="s">
        <v>7</v>
      </c>
      <c r="C3" s="4" t="s">
        <v>11</v>
      </c>
      <c r="E3" s="13" t="s">
        <v>49</v>
      </c>
      <c r="F3" s="2">
        <v>5</v>
      </c>
      <c r="G3" s="2">
        <v>14</v>
      </c>
      <c r="H3" s="2">
        <f>F3/G3</f>
        <v>0.35714285714285715</v>
      </c>
    </row>
    <row r="4" spans="1:12" ht="15.75" x14ac:dyDescent="0.25">
      <c r="A4" s="4" t="s">
        <v>14</v>
      </c>
      <c r="B4" s="9" t="s">
        <v>15</v>
      </c>
      <c r="C4" s="4" t="s">
        <v>16</v>
      </c>
      <c r="E4" s="13" t="s">
        <v>48</v>
      </c>
      <c r="F4" s="2">
        <v>4</v>
      </c>
      <c r="G4" s="2">
        <v>14</v>
      </c>
      <c r="H4" s="2">
        <f t="shared" ref="H4:H5" si="0">F4/G4</f>
        <v>0.2857142857142857</v>
      </c>
    </row>
    <row r="5" spans="1:12" ht="15.75" x14ac:dyDescent="0.25">
      <c r="A5" s="4" t="s">
        <v>17</v>
      </c>
      <c r="B5" s="8" t="s">
        <v>18</v>
      </c>
      <c r="C5" s="4" t="s">
        <v>16</v>
      </c>
      <c r="E5" s="13" t="s">
        <v>47</v>
      </c>
      <c r="F5" s="2">
        <v>5</v>
      </c>
      <c r="G5" s="2">
        <v>14</v>
      </c>
      <c r="H5" s="2">
        <f t="shared" si="0"/>
        <v>0.35714285714285715</v>
      </c>
    </row>
    <row r="6" spans="1:12" ht="15.75" x14ac:dyDescent="0.25">
      <c r="A6" s="4" t="s">
        <v>20</v>
      </c>
      <c r="B6" s="8" t="s">
        <v>18</v>
      </c>
      <c r="C6" s="4" t="s">
        <v>16</v>
      </c>
    </row>
    <row r="7" spans="1:12" ht="15.75" x14ac:dyDescent="0.25">
      <c r="A7" s="4" t="s">
        <v>23</v>
      </c>
      <c r="B7" s="8" t="s">
        <v>18</v>
      </c>
      <c r="C7" s="4" t="s">
        <v>11</v>
      </c>
      <c r="E7" s="10"/>
      <c r="F7" s="3" t="s">
        <v>42</v>
      </c>
      <c r="G7" s="3" t="s">
        <v>41</v>
      </c>
      <c r="H7" s="3" t="s">
        <v>43</v>
      </c>
      <c r="I7" s="3" t="s">
        <v>44</v>
      </c>
      <c r="J7" s="3" t="s">
        <v>45</v>
      </c>
      <c r="K7" s="3" t="s">
        <v>39</v>
      </c>
      <c r="L7" s="3" t="s">
        <v>40</v>
      </c>
    </row>
    <row r="8" spans="1:12" ht="15.75" x14ac:dyDescent="0.25">
      <c r="A8" s="4" t="s">
        <v>24</v>
      </c>
      <c r="B8" s="9" t="s">
        <v>15</v>
      </c>
      <c r="C8" s="4" t="s">
        <v>16</v>
      </c>
      <c r="E8" s="13" t="s">
        <v>49</v>
      </c>
      <c r="F8" s="4">
        <v>2</v>
      </c>
      <c r="G8" s="4">
        <v>3</v>
      </c>
      <c r="H8" s="4">
        <f>G8+F8</f>
        <v>5</v>
      </c>
      <c r="I8" s="4">
        <f>F8/H8</f>
        <v>0.4</v>
      </c>
      <c r="J8" s="4">
        <f>G8/H8</f>
        <v>0.6</v>
      </c>
      <c r="K8" s="4">
        <f>LOG(I8,2)</f>
        <v>-1.3219280948873622</v>
      </c>
      <c r="L8" s="4">
        <f>LOG(J8,2)</f>
        <v>-0.73696559416620622</v>
      </c>
    </row>
    <row r="9" spans="1:12" ht="20.25" x14ac:dyDescent="0.3">
      <c r="A9" s="4" t="s">
        <v>25</v>
      </c>
      <c r="B9" s="6" t="s">
        <v>7</v>
      </c>
      <c r="C9" s="4" t="s">
        <v>11</v>
      </c>
      <c r="E9" s="3" t="s">
        <v>37</v>
      </c>
      <c r="F9" s="14" t="s">
        <v>46</v>
      </c>
      <c r="G9" s="15"/>
      <c r="H9" s="15"/>
      <c r="I9" s="15"/>
      <c r="J9" s="15"/>
      <c r="K9" s="15"/>
      <c r="L9" s="12">
        <f>-I8*K8-J8*L8</f>
        <v>0.97095059445466858</v>
      </c>
    </row>
    <row r="10" spans="1:12" ht="15.75" x14ac:dyDescent="0.25">
      <c r="A10" s="4" t="s">
        <v>26</v>
      </c>
      <c r="B10" s="6" t="s">
        <v>7</v>
      </c>
      <c r="C10" s="4" t="s">
        <v>16</v>
      </c>
    </row>
    <row r="11" spans="1:12" ht="15.75" x14ac:dyDescent="0.25">
      <c r="A11" s="4" t="s">
        <v>27</v>
      </c>
      <c r="B11" s="8" t="s">
        <v>18</v>
      </c>
      <c r="C11" s="4" t="s">
        <v>16</v>
      </c>
    </row>
    <row r="12" spans="1:12" ht="15.75" x14ac:dyDescent="0.25">
      <c r="A12" s="4" t="s">
        <v>28</v>
      </c>
      <c r="B12" s="6" t="s">
        <v>7</v>
      </c>
      <c r="C12" s="4" t="s">
        <v>16</v>
      </c>
      <c r="E12" s="10"/>
      <c r="F12" s="3" t="s">
        <v>42</v>
      </c>
      <c r="G12" s="3" t="s">
        <v>41</v>
      </c>
      <c r="H12" s="3" t="s">
        <v>43</v>
      </c>
      <c r="I12" s="3" t="s">
        <v>44</v>
      </c>
      <c r="J12" s="3" t="s">
        <v>45</v>
      </c>
      <c r="K12" s="3" t="s">
        <v>39</v>
      </c>
      <c r="L12" s="3" t="s">
        <v>40</v>
      </c>
    </row>
    <row r="13" spans="1:12" ht="15.75" x14ac:dyDescent="0.25">
      <c r="A13" s="4" t="s">
        <v>29</v>
      </c>
      <c r="B13" s="9" t="s">
        <v>15</v>
      </c>
      <c r="C13" s="4" t="s">
        <v>16</v>
      </c>
      <c r="E13" s="13" t="s">
        <v>47</v>
      </c>
      <c r="F13" s="4">
        <v>3</v>
      </c>
      <c r="G13" s="4">
        <v>2</v>
      </c>
      <c r="H13" s="4">
        <f>G13+F13</f>
        <v>5</v>
      </c>
      <c r="I13" s="4">
        <f>F13/H13</f>
        <v>0.6</v>
      </c>
      <c r="J13" s="4">
        <f>G13/H13</f>
        <v>0.4</v>
      </c>
      <c r="K13" s="4">
        <f>LOG(I13,2)</f>
        <v>-0.73696559416620622</v>
      </c>
      <c r="L13" s="4">
        <f>LOG(J13,2)</f>
        <v>-1.3219280948873622</v>
      </c>
    </row>
    <row r="14" spans="1:12" ht="20.25" x14ac:dyDescent="0.3">
      <c r="A14" s="4" t="s">
        <v>30</v>
      </c>
      <c r="B14" s="9" t="s">
        <v>15</v>
      </c>
      <c r="C14" s="4" t="s">
        <v>16</v>
      </c>
      <c r="E14" s="3" t="s">
        <v>37</v>
      </c>
      <c r="F14" s="14" t="s">
        <v>46</v>
      </c>
      <c r="G14" s="15"/>
      <c r="H14" s="15"/>
      <c r="I14" s="15"/>
      <c r="J14" s="15"/>
      <c r="K14" s="15"/>
      <c r="L14" s="12">
        <f>-I13*K13-J13*L13</f>
        <v>0.97095059445466858</v>
      </c>
    </row>
    <row r="15" spans="1:12" ht="15.75" x14ac:dyDescent="0.25">
      <c r="A15" s="4" t="s">
        <v>31</v>
      </c>
      <c r="B15" s="8" t="s">
        <v>18</v>
      </c>
      <c r="C15" s="4" t="s">
        <v>11</v>
      </c>
    </row>
    <row r="16" spans="1:12" ht="20.25" x14ac:dyDescent="0.3">
      <c r="E16" s="3" t="s">
        <v>50</v>
      </c>
      <c r="F16" s="17"/>
      <c r="G16" s="17"/>
      <c r="H16" s="17"/>
      <c r="I16" s="17"/>
      <c r="J16" s="17"/>
      <c r="K16" s="17"/>
      <c r="L16" s="12">
        <f>Raw!O3-Outlook!H3*Outlook!L9-Outlook!H5*Outlook!L14</f>
        <v>0.24674981977443911</v>
      </c>
    </row>
  </sheetData>
  <mergeCells count="4">
    <mergeCell ref="F9:K9"/>
    <mergeCell ref="F14:K14"/>
    <mergeCell ref="E1:L1"/>
    <mergeCell ref="F16:K16"/>
  </mergeCells>
  <conditionalFormatting sqref="A1:C4 A5:A7 C5:C7 A11 C11 A15 C15 A8:C10 A12:C14 E2">
    <cfRule type="containsText" dxfId="27" priority="9" operator="containsText" text="no">
      <formula>NOT(ISERROR(SEARCH("no",A1)))</formula>
    </cfRule>
  </conditionalFormatting>
  <conditionalFormatting sqref="B5">
    <cfRule type="containsText" dxfId="26" priority="8" operator="containsText" text="yes">
      <formula>NOT(ISERROR(SEARCH("yes",B5)))</formula>
    </cfRule>
  </conditionalFormatting>
  <conditionalFormatting sqref="B6">
    <cfRule type="containsText" dxfId="25" priority="7" operator="containsText" text="yes">
      <formula>NOT(ISERROR(SEARCH("yes",B6)))</formula>
    </cfRule>
  </conditionalFormatting>
  <conditionalFormatting sqref="B7">
    <cfRule type="containsText" dxfId="24" priority="6" operator="containsText" text="yes">
      <formula>NOT(ISERROR(SEARCH("yes",B7)))</formula>
    </cfRule>
  </conditionalFormatting>
  <conditionalFormatting sqref="B11">
    <cfRule type="containsText" dxfId="23" priority="5" operator="containsText" text="yes">
      <formula>NOT(ISERROR(SEARCH("yes",B11)))</formula>
    </cfRule>
  </conditionalFormatting>
  <conditionalFormatting sqref="B15">
    <cfRule type="containsText" dxfId="22" priority="4" operator="containsText" text="yes">
      <formula>NOT(ISERROR(SEARCH("yes",B15)))</formula>
    </cfRule>
  </conditionalFormatting>
  <conditionalFormatting sqref="F9">
    <cfRule type="containsText" dxfId="21" priority="3" operator="containsText" text="no">
      <formula>NOT(ISERROR(SEARCH("no",F9)))</formula>
    </cfRule>
  </conditionalFormatting>
  <conditionalFormatting sqref="F14">
    <cfRule type="containsText" dxfId="20" priority="1" operator="containsText" text="no">
      <formula>NOT(ISERROR(SEARCH("no",F14)))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02BC1-BE9E-4B42-8BF2-2766658B6C31}">
  <dimension ref="A1:L19"/>
  <sheetViews>
    <sheetView workbookViewId="0">
      <selection activeCell="E19" sqref="E19:L19"/>
    </sheetView>
  </sheetViews>
  <sheetFormatPr defaultRowHeight="15" x14ac:dyDescent="0.25"/>
  <cols>
    <col min="2" max="2" width="9.140625" customWidth="1"/>
    <col min="3" max="3" width="12.7109375" bestFit="1" customWidth="1"/>
    <col min="5" max="5" width="31.7109375" bestFit="1" customWidth="1"/>
    <col min="12" max="12" width="14.5703125" bestFit="1" customWidth="1"/>
  </cols>
  <sheetData>
    <row r="1" spans="1:12" s="1" customFormat="1" ht="15.75" x14ac:dyDescent="0.25">
      <c r="A1" s="3" t="s">
        <v>0</v>
      </c>
      <c r="B1" s="3" t="s">
        <v>2</v>
      </c>
      <c r="C1" s="3" t="s">
        <v>5</v>
      </c>
      <c r="E1" s="5" t="s">
        <v>33</v>
      </c>
      <c r="F1" s="7"/>
      <c r="G1" s="7"/>
      <c r="H1" s="7"/>
      <c r="I1" s="7"/>
    </row>
    <row r="2" spans="1:12" ht="15.75" x14ac:dyDescent="0.25">
      <c r="A2" s="4" t="s">
        <v>6</v>
      </c>
      <c r="B2" s="6" t="s">
        <v>8</v>
      </c>
      <c r="C2" s="4" t="s">
        <v>11</v>
      </c>
      <c r="E2" s="13" t="s">
        <v>51</v>
      </c>
      <c r="F2" s="2">
        <v>4</v>
      </c>
      <c r="G2" s="2">
        <v>14</v>
      </c>
      <c r="H2" s="2">
        <f>F2/G2</f>
        <v>0.2857142857142857</v>
      </c>
    </row>
    <row r="3" spans="1:12" ht="15.75" x14ac:dyDescent="0.25">
      <c r="A3" s="4" t="s">
        <v>12</v>
      </c>
      <c r="B3" s="6" t="s">
        <v>8</v>
      </c>
      <c r="C3" s="4" t="s">
        <v>11</v>
      </c>
      <c r="E3" s="13" t="s">
        <v>52</v>
      </c>
      <c r="F3" s="2">
        <v>6</v>
      </c>
      <c r="G3" s="2">
        <v>14</v>
      </c>
      <c r="H3" s="2">
        <f t="shared" ref="H3:H4" si="0">F3/G3</f>
        <v>0.42857142857142855</v>
      </c>
    </row>
    <row r="4" spans="1:12" ht="15.75" x14ac:dyDescent="0.25">
      <c r="A4" s="4" t="s">
        <v>14</v>
      </c>
      <c r="B4" s="6" t="s">
        <v>8</v>
      </c>
      <c r="C4" s="4" t="s">
        <v>16</v>
      </c>
      <c r="E4" s="13" t="s">
        <v>53</v>
      </c>
      <c r="F4" s="2">
        <v>4</v>
      </c>
      <c r="G4" s="2">
        <v>14</v>
      </c>
      <c r="H4" s="2">
        <f t="shared" si="0"/>
        <v>0.2857142857142857</v>
      </c>
    </row>
    <row r="5" spans="1:12" ht="15.75" x14ac:dyDescent="0.25">
      <c r="A5" s="4" t="s">
        <v>17</v>
      </c>
      <c r="B5" s="8" t="s">
        <v>19</v>
      </c>
      <c r="C5" s="4" t="s">
        <v>16</v>
      </c>
    </row>
    <row r="6" spans="1:12" ht="15.75" x14ac:dyDescent="0.25">
      <c r="A6" s="4" t="s">
        <v>20</v>
      </c>
      <c r="B6" s="9" t="s">
        <v>21</v>
      </c>
      <c r="C6" s="4" t="s">
        <v>16</v>
      </c>
      <c r="E6" s="10"/>
      <c r="F6" s="3" t="s">
        <v>42</v>
      </c>
      <c r="G6" s="3" t="s">
        <v>41</v>
      </c>
      <c r="H6" s="3" t="s">
        <v>43</v>
      </c>
      <c r="I6" s="3" t="s">
        <v>44</v>
      </c>
      <c r="J6" s="3" t="s">
        <v>45</v>
      </c>
      <c r="K6" s="3" t="s">
        <v>39</v>
      </c>
      <c r="L6" s="3" t="s">
        <v>40</v>
      </c>
    </row>
    <row r="7" spans="1:12" ht="15.75" x14ac:dyDescent="0.25">
      <c r="A7" s="4" t="s">
        <v>23</v>
      </c>
      <c r="B7" s="9" t="s">
        <v>21</v>
      </c>
      <c r="C7" s="4" t="s">
        <v>11</v>
      </c>
      <c r="E7" s="13" t="s">
        <v>51</v>
      </c>
      <c r="F7" s="4">
        <v>2</v>
      </c>
      <c r="G7" s="4">
        <v>2</v>
      </c>
      <c r="H7" s="4">
        <f>G7+F7</f>
        <v>4</v>
      </c>
      <c r="I7" s="4">
        <f>F7/H7</f>
        <v>0.5</v>
      </c>
      <c r="J7" s="4">
        <f>G7/H7</f>
        <v>0.5</v>
      </c>
      <c r="K7" s="4">
        <f>LOG(I7,2)</f>
        <v>-1</v>
      </c>
      <c r="L7" s="4">
        <f>LOG(J7,2)</f>
        <v>-1</v>
      </c>
    </row>
    <row r="8" spans="1:12" ht="20.25" x14ac:dyDescent="0.3">
      <c r="A8" s="4" t="s">
        <v>24</v>
      </c>
      <c r="B8" s="9" t="s">
        <v>21</v>
      </c>
      <c r="C8" s="4" t="s">
        <v>16</v>
      </c>
      <c r="E8" s="3" t="s">
        <v>37</v>
      </c>
      <c r="F8" s="14" t="s">
        <v>46</v>
      </c>
      <c r="G8" s="15"/>
      <c r="H8" s="15"/>
      <c r="I8" s="15"/>
      <c r="J8" s="15"/>
      <c r="K8" s="15"/>
      <c r="L8" s="12">
        <f>-I7*K7-J7*L7</f>
        <v>1</v>
      </c>
    </row>
    <row r="9" spans="1:12" ht="15.75" x14ac:dyDescent="0.25">
      <c r="A9" s="4" t="s">
        <v>25</v>
      </c>
      <c r="B9" s="8" t="s">
        <v>19</v>
      </c>
      <c r="C9" s="4" t="s">
        <v>11</v>
      </c>
    </row>
    <row r="10" spans="1:12" ht="15.75" x14ac:dyDescent="0.25">
      <c r="A10" s="4" t="s">
        <v>26</v>
      </c>
      <c r="B10" s="9" t="s">
        <v>21</v>
      </c>
      <c r="C10" s="4" t="s">
        <v>16</v>
      </c>
    </row>
    <row r="11" spans="1:12" ht="15.75" x14ac:dyDescent="0.25">
      <c r="A11" s="4" t="s">
        <v>27</v>
      </c>
      <c r="B11" s="8" t="s">
        <v>19</v>
      </c>
      <c r="C11" s="4" t="s">
        <v>16</v>
      </c>
      <c r="E11" s="10"/>
      <c r="F11" s="3" t="s">
        <v>42</v>
      </c>
      <c r="G11" s="3" t="s">
        <v>41</v>
      </c>
      <c r="H11" s="3" t="s">
        <v>43</v>
      </c>
      <c r="I11" s="3" t="s">
        <v>44</v>
      </c>
      <c r="J11" s="3" t="s">
        <v>45</v>
      </c>
      <c r="K11" s="3" t="s">
        <v>39</v>
      </c>
      <c r="L11" s="3" t="s">
        <v>40</v>
      </c>
    </row>
    <row r="12" spans="1:12" ht="15.75" x14ac:dyDescent="0.25">
      <c r="A12" s="4" t="s">
        <v>28</v>
      </c>
      <c r="B12" s="8" t="s">
        <v>19</v>
      </c>
      <c r="C12" s="4" t="s">
        <v>16</v>
      </c>
      <c r="E12" s="13" t="s">
        <v>52</v>
      </c>
      <c r="F12" s="4">
        <v>4</v>
      </c>
      <c r="G12" s="4">
        <v>2</v>
      </c>
      <c r="H12" s="4">
        <f>G12+F12</f>
        <v>6</v>
      </c>
      <c r="I12" s="4">
        <f>F12/H12</f>
        <v>0.66666666666666663</v>
      </c>
      <c r="J12" s="4">
        <f>G12/H12</f>
        <v>0.33333333333333331</v>
      </c>
      <c r="K12" s="4">
        <f>LOG(I12,2)</f>
        <v>-0.5849625007211563</v>
      </c>
      <c r="L12" s="4">
        <f>LOG(J12,2)</f>
        <v>-1.5849625007211563</v>
      </c>
    </row>
    <row r="13" spans="1:12" ht="20.25" x14ac:dyDescent="0.3">
      <c r="A13" s="4" t="s">
        <v>29</v>
      </c>
      <c r="B13" s="8" t="s">
        <v>19</v>
      </c>
      <c r="C13" s="4" t="s">
        <v>16</v>
      </c>
      <c r="E13" s="3" t="s">
        <v>37</v>
      </c>
      <c r="F13" s="14" t="s">
        <v>46</v>
      </c>
      <c r="G13" s="15"/>
      <c r="H13" s="15"/>
      <c r="I13" s="15"/>
      <c r="J13" s="15"/>
      <c r="K13" s="15"/>
      <c r="L13" s="12">
        <f>-I12*K12-J12*L12</f>
        <v>0.91829583405448956</v>
      </c>
    </row>
    <row r="14" spans="1:12" ht="15.75" x14ac:dyDescent="0.25">
      <c r="A14" s="4" t="s">
        <v>30</v>
      </c>
      <c r="B14" s="6" t="s">
        <v>8</v>
      </c>
      <c r="C14" s="4" t="s">
        <v>16</v>
      </c>
    </row>
    <row r="15" spans="1:12" ht="15.75" x14ac:dyDescent="0.25">
      <c r="A15" s="4" t="s">
        <v>31</v>
      </c>
      <c r="B15" s="4" t="s">
        <v>19</v>
      </c>
      <c r="C15" s="4" t="s">
        <v>11</v>
      </c>
      <c r="E15" s="10"/>
      <c r="F15" s="3" t="s">
        <v>42</v>
      </c>
      <c r="G15" s="3" t="s">
        <v>41</v>
      </c>
      <c r="H15" s="3" t="s">
        <v>43</v>
      </c>
      <c r="I15" s="3" t="s">
        <v>44</v>
      </c>
      <c r="J15" s="3" t="s">
        <v>45</v>
      </c>
      <c r="K15" s="3" t="s">
        <v>39</v>
      </c>
      <c r="L15" s="3" t="s">
        <v>40</v>
      </c>
    </row>
    <row r="16" spans="1:12" ht="15.75" x14ac:dyDescent="0.25">
      <c r="E16" s="13" t="s">
        <v>53</v>
      </c>
      <c r="F16" s="4">
        <v>3</v>
      </c>
      <c r="G16" s="4">
        <v>1</v>
      </c>
      <c r="H16" s="4">
        <f>G16+F16</f>
        <v>4</v>
      </c>
      <c r="I16" s="4">
        <f>F16/H16</f>
        <v>0.75</v>
      </c>
      <c r="J16" s="4">
        <f>G16/H16</f>
        <v>0.25</v>
      </c>
      <c r="K16" s="4">
        <f>LOG(I16,2)</f>
        <v>-0.41503749927884381</v>
      </c>
      <c r="L16" s="4">
        <f>LOG(J16,2)</f>
        <v>-2</v>
      </c>
    </row>
    <row r="17" spans="5:12" ht="20.25" x14ac:dyDescent="0.3">
      <c r="E17" s="3" t="s">
        <v>37</v>
      </c>
      <c r="F17" s="14" t="s">
        <v>46</v>
      </c>
      <c r="G17" s="15"/>
      <c r="H17" s="15"/>
      <c r="I17" s="15"/>
      <c r="J17" s="15"/>
      <c r="K17" s="15"/>
      <c r="L17" s="12">
        <f>-I16*K16-J16*L16</f>
        <v>0.81127812445913283</v>
      </c>
    </row>
    <row r="19" spans="5:12" ht="20.25" x14ac:dyDescent="0.3">
      <c r="E19" s="3" t="s">
        <v>50</v>
      </c>
      <c r="F19" s="17"/>
      <c r="G19" s="17"/>
      <c r="H19" s="17"/>
      <c r="I19" s="17"/>
      <c r="J19" s="17"/>
      <c r="K19" s="17"/>
      <c r="L19" s="12">
        <f>Raw!O3-Temp!H2*Temp!L8-Temp!H3*Temp!L13-Temp!H4*Temp!L17</f>
        <v>2.9222565658954647E-2</v>
      </c>
    </row>
  </sheetData>
  <mergeCells count="4">
    <mergeCell ref="F8:K8"/>
    <mergeCell ref="F13:K13"/>
    <mergeCell ref="F19:K19"/>
    <mergeCell ref="F17:K17"/>
  </mergeCells>
  <conditionalFormatting sqref="A1:C4 A14:C15 A5:A13 C5:C13">
    <cfRule type="containsText" dxfId="19" priority="14" operator="containsText" text="no">
      <formula>NOT(ISERROR(SEARCH("no",A1)))</formula>
    </cfRule>
  </conditionalFormatting>
  <conditionalFormatting sqref="E1">
    <cfRule type="containsText" dxfId="18" priority="13" operator="containsText" text="no">
      <formula>NOT(ISERROR(SEARCH("no",E1)))</formula>
    </cfRule>
  </conditionalFormatting>
  <conditionalFormatting sqref="B5">
    <cfRule type="containsText" dxfId="17" priority="12" operator="containsText" text="yes">
      <formula>NOT(ISERROR(SEARCH("yes",B5)))</formula>
    </cfRule>
  </conditionalFormatting>
  <conditionalFormatting sqref="B9">
    <cfRule type="containsText" dxfId="16" priority="11" operator="containsText" text="yes">
      <formula>NOT(ISERROR(SEARCH("yes",B9)))</formula>
    </cfRule>
  </conditionalFormatting>
  <conditionalFormatting sqref="B11">
    <cfRule type="containsText" dxfId="15" priority="10" operator="containsText" text="yes">
      <formula>NOT(ISERROR(SEARCH("yes",B11)))</formula>
    </cfRule>
  </conditionalFormatting>
  <conditionalFormatting sqref="B12">
    <cfRule type="containsText" dxfId="14" priority="9" operator="containsText" text="yes">
      <formula>NOT(ISERROR(SEARCH("yes",B12)))</formula>
    </cfRule>
  </conditionalFormatting>
  <conditionalFormatting sqref="B13">
    <cfRule type="containsText" dxfId="13" priority="8" operator="containsText" text="yes">
      <formula>NOT(ISERROR(SEARCH("yes",B13)))</formula>
    </cfRule>
  </conditionalFormatting>
  <conditionalFormatting sqref="B10">
    <cfRule type="containsText" dxfId="12" priority="7" operator="containsText" text="no">
      <formula>NOT(ISERROR(SEARCH("no",B10)))</formula>
    </cfRule>
  </conditionalFormatting>
  <conditionalFormatting sqref="B8">
    <cfRule type="containsText" dxfId="11" priority="6" operator="containsText" text="no">
      <formula>NOT(ISERROR(SEARCH("no",B8)))</formula>
    </cfRule>
  </conditionalFormatting>
  <conditionalFormatting sqref="B7">
    <cfRule type="containsText" dxfId="10" priority="5" operator="containsText" text="no">
      <formula>NOT(ISERROR(SEARCH("no",B7)))</formula>
    </cfRule>
  </conditionalFormatting>
  <conditionalFormatting sqref="B6">
    <cfRule type="containsText" dxfId="9" priority="4" operator="containsText" text="no">
      <formula>NOT(ISERROR(SEARCH("no",B6)))</formula>
    </cfRule>
  </conditionalFormatting>
  <conditionalFormatting sqref="F8">
    <cfRule type="containsText" dxfId="8" priority="3" operator="containsText" text="no">
      <formula>NOT(ISERROR(SEARCH("no",F8)))</formula>
    </cfRule>
  </conditionalFormatting>
  <conditionalFormatting sqref="F13">
    <cfRule type="containsText" dxfId="7" priority="2" operator="containsText" text="no">
      <formula>NOT(ISERROR(SEARCH("no",F13)))</formula>
    </cfRule>
  </conditionalFormatting>
  <conditionalFormatting sqref="F17">
    <cfRule type="containsText" dxfId="6" priority="1" operator="containsText" text="no">
      <formula>NOT(ISERROR(SEARCH("no",F17)))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0D00-57FC-4EA9-A55C-FF61AA3DD6A0}">
  <dimension ref="A1:L15"/>
  <sheetViews>
    <sheetView workbookViewId="0">
      <selection activeCell="E1" sqref="E1:L14"/>
    </sheetView>
  </sheetViews>
  <sheetFormatPr defaultRowHeight="15" x14ac:dyDescent="0.25"/>
  <cols>
    <col min="2" max="2" width="9.140625" customWidth="1"/>
    <col min="3" max="3" width="12.7109375" bestFit="1" customWidth="1"/>
    <col min="5" max="5" width="27.85546875" bestFit="1" customWidth="1"/>
    <col min="12" max="12" width="14.5703125" bestFit="1" customWidth="1"/>
  </cols>
  <sheetData>
    <row r="1" spans="1:12" s="1" customFormat="1" ht="15.75" x14ac:dyDescent="0.25">
      <c r="A1" s="3" t="s">
        <v>0</v>
      </c>
      <c r="B1" s="3" t="s">
        <v>3</v>
      </c>
      <c r="C1" s="3" t="s">
        <v>5</v>
      </c>
      <c r="E1" s="5" t="s">
        <v>34</v>
      </c>
    </row>
    <row r="2" spans="1:12" ht="15.75" x14ac:dyDescent="0.25">
      <c r="A2" s="4" t="s">
        <v>6</v>
      </c>
      <c r="B2" s="6" t="s">
        <v>9</v>
      </c>
      <c r="C2" s="4" t="s">
        <v>11</v>
      </c>
      <c r="E2" s="13" t="s">
        <v>54</v>
      </c>
      <c r="F2" s="2">
        <v>7</v>
      </c>
      <c r="G2" s="2">
        <v>14</v>
      </c>
      <c r="H2" s="2">
        <f t="shared" ref="H2:H3" si="0">F2/G2</f>
        <v>0.5</v>
      </c>
    </row>
    <row r="3" spans="1:12" ht="15.75" x14ac:dyDescent="0.25">
      <c r="A3" s="4" t="s">
        <v>12</v>
      </c>
      <c r="B3" s="6" t="s">
        <v>9</v>
      </c>
      <c r="C3" s="4" t="s">
        <v>11</v>
      </c>
      <c r="E3" s="13" t="s">
        <v>55</v>
      </c>
      <c r="F3" s="2">
        <v>7</v>
      </c>
      <c r="G3" s="2">
        <v>14</v>
      </c>
      <c r="H3" s="2">
        <f t="shared" si="0"/>
        <v>0.5</v>
      </c>
    </row>
    <row r="4" spans="1:12" ht="15.75" x14ac:dyDescent="0.25">
      <c r="A4" s="4" t="s">
        <v>14</v>
      </c>
      <c r="B4" s="6" t="s">
        <v>9</v>
      </c>
      <c r="C4" s="4" t="s">
        <v>16</v>
      </c>
    </row>
    <row r="5" spans="1:12" ht="15.75" x14ac:dyDescent="0.25">
      <c r="A5" s="4" t="s">
        <v>17</v>
      </c>
      <c r="B5" s="6" t="s">
        <v>9</v>
      </c>
      <c r="C5" s="4" t="s">
        <v>16</v>
      </c>
      <c r="E5" s="10"/>
      <c r="F5" s="3" t="s">
        <v>42</v>
      </c>
      <c r="G5" s="3" t="s">
        <v>41</v>
      </c>
      <c r="H5" s="3" t="s">
        <v>43</v>
      </c>
      <c r="I5" s="3" t="s">
        <v>44</v>
      </c>
      <c r="J5" s="3" t="s">
        <v>45</v>
      </c>
      <c r="K5" s="3" t="s">
        <v>39</v>
      </c>
      <c r="L5" s="3" t="s">
        <v>40</v>
      </c>
    </row>
    <row r="6" spans="1:12" ht="15.75" x14ac:dyDescent="0.25">
      <c r="A6" s="4" t="s">
        <v>20</v>
      </c>
      <c r="B6" s="8" t="s">
        <v>22</v>
      </c>
      <c r="C6" s="4" t="s">
        <v>16</v>
      </c>
      <c r="E6" s="13" t="s">
        <v>54</v>
      </c>
      <c r="F6" s="4">
        <v>3</v>
      </c>
      <c r="G6" s="4">
        <v>4</v>
      </c>
      <c r="H6" s="4">
        <f>G6+F6</f>
        <v>7</v>
      </c>
      <c r="I6" s="4">
        <f>F6/H6</f>
        <v>0.42857142857142855</v>
      </c>
      <c r="J6" s="4">
        <f>G6/H6</f>
        <v>0.5714285714285714</v>
      </c>
      <c r="K6" s="4">
        <f>LOG(I6,2)</f>
        <v>-1.2223924213364481</v>
      </c>
      <c r="L6" s="4">
        <f>LOG(J6,2)</f>
        <v>-0.80735492205760429</v>
      </c>
    </row>
    <row r="7" spans="1:12" ht="20.25" x14ac:dyDescent="0.3">
      <c r="A7" s="4" t="s">
        <v>23</v>
      </c>
      <c r="B7" s="8" t="s">
        <v>22</v>
      </c>
      <c r="C7" s="4" t="s">
        <v>11</v>
      </c>
      <c r="E7" s="3" t="s">
        <v>37</v>
      </c>
      <c r="F7" s="14" t="s">
        <v>46</v>
      </c>
      <c r="G7" s="15"/>
      <c r="H7" s="15"/>
      <c r="I7" s="15"/>
      <c r="J7" s="15"/>
      <c r="K7" s="15"/>
      <c r="L7" s="12">
        <f>-I6*K6-J6*L6</f>
        <v>0.98522813603425163</v>
      </c>
    </row>
    <row r="8" spans="1:12" ht="15.75" x14ac:dyDescent="0.25">
      <c r="A8" s="4" t="s">
        <v>24</v>
      </c>
      <c r="B8" s="8" t="s">
        <v>22</v>
      </c>
      <c r="C8" s="4" t="s">
        <v>16</v>
      </c>
    </row>
    <row r="9" spans="1:12" ht="15.75" x14ac:dyDescent="0.25">
      <c r="A9" s="4" t="s">
        <v>25</v>
      </c>
      <c r="B9" s="6" t="s">
        <v>9</v>
      </c>
      <c r="C9" s="4" t="s">
        <v>11</v>
      </c>
    </row>
    <row r="10" spans="1:12" ht="15.75" x14ac:dyDescent="0.25">
      <c r="A10" s="4" t="s">
        <v>26</v>
      </c>
      <c r="B10" s="8" t="s">
        <v>22</v>
      </c>
      <c r="C10" s="4" t="s">
        <v>16</v>
      </c>
      <c r="E10" s="10"/>
      <c r="F10" s="3" t="s">
        <v>42</v>
      </c>
      <c r="G10" s="3" t="s">
        <v>41</v>
      </c>
      <c r="H10" s="3" t="s">
        <v>43</v>
      </c>
      <c r="I10" s="3" t="s">
        <v>44</v>
      </c>
      <c r="J10" s="3" t="s">
        <v>45</v>
      </c>
      <c r="K10" s="3" t="s">
        <v>39</v>
      </c>
      <c r="L10" s="3" t="s">
        <v>40</v>
      </c>
    </row>
    <row r="11" spans="1:12" ht="15.75" x14ac:dyDescent="0.25">
      <c r="A11" s="4" t="s">
        <v>27</v>
      </c>
      <c r="B11" s="8" t="s">
        <v>22</v>
      </c>
      <c r="C11" s="4" t="s">
        <v>16</v>
      </c>
      <c r="E11" s="13" t="s">
        <v>55</v>
      </c>
      <c r="F11" s="4">
        <v>6</v>
      </c>
      <c r="G11" s="4">
        <v>1</v>
      </c>
      <c r="H11" s="4">
        <f>G11+F11</f>
        <v>7</v>
      </c>
      <c r="I11" s="4">
        <f>F11/H11</f>
        <v>0.8571428571428571</v>
      </c>
      <c r="J11" s="4">
        <f>G11/H11</f>
        <v>0.14285714285714285</v>
      </c>
      <c r="K11" s="4">
        <f>LOG(I11,2)</f>
        <v>-0.22239242133644802</v>
      </c>
      <c r="L11" s="4">
        <f>LOG(J11,2)</f>
        <v>-2.8073549220576046</v>
      </c>
    </row>
    <row r="12" spans="1:12" ht="20.25" x14ac:dyDescent="0.3">
      <c r="A12" s="4" t="s">
        <v>28</v>
      </c>
      <c r="B12" s="8" t="s">
        <v>22</v>
      </c>
      <c r="C12" s="4" t="s">
        <v>16</v>
      </c>
      <c r="E12" s="3" t="s">
        <v>37</v>
      </c>
      <c r="F12" s="14" t="s">
        <v>46</v>
      </c>
      <c r="G12" s="15"/>
      <c r="H12" s="15"/>
      <c r="I12" s="15"/>
      <c r="J12" s="15"/>
      <c r="K12" s="15"/>
      <c r="L12" s="12">
        <f>-I11*K11-J11*L11</f>
        <v>0.59167277858232747</v>
      </c>
    </row>
    <row r="13" spans="1:12" ht="15.75" x14ac:dyDescent="0.25">
      <c r="A13" s="4" t="s">
        <v>29</v>
      </c>
      <c r="B13" s="6" t="s">
        <v>9</v>
      </c>
      <c r="C13" s="4" t="s">
        <v>16</v>
      </c>
    </row>
    <row r="14" spans="1:12" ht="20.25" x14ac:dyDescent="0.3">
      <c r="A14" s="4" t="s">
        <v>30</v>
      </c>
      <c r="B14" s="8" t="s">
        <v>22</v>
      </c>
      <c r="C14" s="4" t="s">
        <v>16</v>
      </c>
      <c r="E14" s="3" t="s">
        <v>50</v>
      </c>
      <c r="F14" s="17"/>
      <c r="G14" s="17"/>
      <c r="H14" s="17"/>
      <c r="I14" s="17"/>
      <c r="J14" s="17"/>
      <c r="K14" s="17"/>
      <c r="L14" s="12">
        <f>Raw!O3-Humid!H2*Humid!L7-Humid!H3*Humid!L12</f>
        <v>0.15183550136234136</v>
      </c>
    </row>
    <row r="15" spans="1:12" ht="15.75" x14ac:dyDescent="0.25">
      <c r="A15" s="4" t="s">
        <v>31</v>
      </c>
      <c r="B15" s="6" t="s">
        <v>9</v>
      </c>
      <c r="C15" s="4" t="s">
        <v>11</v>
      </c>
    </row>
  </sheetData>
  <mergeCells count="3">
    <mergeCell ref="F7:K7"/>
    <mergeCell ref="F12:K12"/>
    <mergeCell ref="F14:K14"/>
  </mergeCells>
  <conditionalFormatting sqref="A1:C15">
    <cfRule type="containsText" dxfId="5" priority="4" operator="containsText" text="yes">
      <formula>NOT(ISERROR(SEARCH("yes",A1)))</formula>
    </cfRule>
  </conditionalFormatting>
  <conditionalFormatting sqref="F7">
    <cfRule type="containsText" dxfId="4" priority="2" operator="containsText" text="no">
      <formula>NOT(ISERROR(SEARCH("no",F7)))</formula>
    </cfRule>
  </conditionalFormatting>
  <conditionalFormatting sqref="F12">
    <cfRule type="containsText" dxfId="3" priority="1" operator="containsText" text="no">
      <formula>NOT(ISERROR(SEARCH("no",F12)))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EA296-0C03-4476-AB7C-BB4DF4F4CB27}">
  <dimension ref="A1:L15"/>
  <sheetViews>
    <sheetView workbookViewId="0">
      <selection activeCell="L16" sqref="L16"/>
    </sheetView>
  </sheetViews>
  <sheetFormatPr defaultRowHeight="15" x14ac:dyDescent="0.25"/>
  <cols>
    <col min="2" max="2" width="9.140625" customWidth="1"/>
    <col min="3" max="3" width="12.7109375" bestFit="1" customWidth="1"/>
    <col min="5" max="5" width="28.140625" bestFit="1" customWidth="1"/>
    <col min="12" max="12" width="9.85546875" bestFit="1" customWidth="1"/>
  </cols>
  <sheetData>
    <row r="1" spans="1:12" s="1" customFormat="1" ht="15.75" x14ac:dyDescent="0.25">
      <c r="A1" s="3" t="s">
        <v>0</v>
      </c>
      <c r="B1" s="3" t="s">
        <v>4</v>
      </c>
      <c r="C1" s="3" t="s">
        <v>5</v>
      </c>
      <c r="E1" s="5" t="s">
        <v>35</v>
      </c>
    </row>
    <row r="2" spans="1:12" ht="15.75" x14ac:dyDescent="0.25">
      <c r="A2" s="4" t="s">
        <v>6</v>
      </c>
      <c r="B2" s="6" t="s">
        <v>10</v>
      </c>
      <c r="C2" s="4" t="s">
        <v>11</v>
      </c>
      <c r="E2" s="5"/>
      <c r="F2" s="1"/>
      <c r="G2" s="1"/>
      <c r="H2" s="1"/>
      <c r="I2" s="1"/>
      <c r="J2" s="1"/>
      <c r="K2" s="1"/>
      <c r="L2" s="1"/>
    </row>
    <row r="3" spans="1:12" ht="15.75" x14ac:dyDescent="0.25">
      <c r="A3" s="4" t="s">
        <v>12</v>
      </c>
      <c r="B3" s="8" t="s">
        <v>13</v>
      </c>
      <c r="C3" s="4" t="s">
        <v>11</v>
      </c>
      <c r="E3" s="13" t="s">
        <v>56</v>
      </c>
      <c r="F3" s="2">
        <v>8</v>
      </c>
      <c r="G3" s="2">
        <v>14</v>
      </c>
      <c r="H3" s="2">
        <f>F3/G3</f>
        <v>0.5714285714285714</v>
      </c>
    </row>
    <row r="4" spans="1:12" ht="15.75" x14ac:dyDescent="0.25">
      <c r="A4" s="4" t="s">
        <v>14</v>
      </c>
      <c r="B4" s="6" t="s">
        <v>10</v>
      </c>
      <c r="C4" s="4" t="s">
        <v>16</v>
      </c>
      <c r="E4" s="13" t="s">
        <v>57</v>
      </c>
      <c r="F4" s="2">
        <v>6</v>
      </c>
      <c r="G4" s="2">
        <v>14</v>
      </c>
      <c r="H4" s="2">
        <f>F4/G4</f>
        <v>0.42857142857142855</v>
      </c>
    </row>
    <row r="5" spans="1:12" ht="15.75" x14ac:dyDescent="0.25">
      <c r="A5" s="4" t="s">
        <v>17</v>
      </c>
      <c r="B5" s="6" t="s">
        <v>10</v>
      </c>
      <c r="C5" s="4" t="s">
        <v>16</v>
      </c>
    </row>
    <row r="6" spans="1:12" ht="15.75" x14ac:dyDescent="0.25">
      <c r="A6" s="4" t="s">
        <v>20</v>
      </c>
      <c r="B6" s="6" t="s">
        <v>10</v>
      </c>
      <c r="C6" s="4" t="s">
        <v>16</v>
      </c>
      <c r="E6" s="10"/>
      <c r="F6" s="3" t="s">
        <v>42</v>
      </c>
      <c r="G6" s="3" t="s">
        <v>41</v>
      </c>
      <c r="H6" s="3" t="s">
        <v>43</v>
      </c>
      <c r="I6" s="3" t="s">
        <v>44</v>
      </c>
      <c r="J6" s="3" t="s">
        <v>45</v>
      </c>
      <c r="K6" s="3" t="s">
        <v>39</v>
      </c>
      <c r="L6" s="3" t="s">
        <v>40</v>
      </c>
    </row>
    <row r="7" spans="1:12" ht="15.75" x14ac:dyDescent="0.25">
      <c r="A7" s="4" t="s">
        <v>23</v>
      </c>
      <c r="B7" s="8" t="s">
        <v>13</v>
      </c>
      <c r="C7" s="4" t="s">
        <v>11</v>
      </c>
      <c r="E7" s="13" t="s">
        <v>56</v>
      </c>
      <c r="F7" s="4">
        <v>6</v>
      </c>
      <c r="G7" s="4">
        <v>2</v>
      </c>
      <c r="H7" s="4">
        <f>G7+F7</f>
        <v>8</v>
      </c>
      <c r="I7" s="4">
        <f>F7/H7</f>
        <v>0.75</v>
      </c>
      <c r="J7" s="4">
        <f>G7/H7</f>
        <v>0.25</v>
      </c>
      <c r="K7" s="4">
        <f>LOG(I7,2)</f>
        <v>-0.41503749927884381</v>
      </c>
      <c r="L7" s="4">
        <f>LOG(J7,2)</f>
        <v>-2</v>
      </c>
    </row>
    <row r="8" spans="1:12" ht="20.25" x14ac:dyDescent="0.3">
      <c r="A8" s="4" t="s">
        <v>24</v>
      </c>
      <c r="B8" s="8" t="s">
        <v>13</v>
      </c>
      <c r="C8" s="4" t="s">
        <v>16</v>
      </c>
      <c r="E8" s="3" t="s">
        <v>37</v>
      </c>
      <c r="F8" s="18" t="s">
        <v>46</v>
      </c>
      <c r="G8" s="19"/>
      <c r="H8" s="19"/>
      <c r="I8" s="19"/>
      <c r="J8" s="19"/>
      <c r="K8" s="20"/>
      <c r="L8" s="12">
        <f>-I7*K7-J7*L7</f>
        <v>0.81127812445913283</v>
      </c>
    </row>
    <row r="9" spans="1:12" ht="15.75" x14ac:dyDescent="0.25">
      <c r="A9" s="4" t="s">
        <v>25</v>
      </c>
      <c r="B9" s="6" t="s">
        <v>10</v>
      </c>
      <c r="C9" s="4" t="s">
        <v>11</v>
      </c>
    </row>
    <row r="10" spans="1:12" ht="15.75" x14ac:dyDescent="0.25">
      <c r="A10" s="4" t="s">
        <v>26</v>
      </c>
      <c r="B10" s="6" t="s">
        <v>10</v>
      </c>
      <c r="C10" s="4" t="s">
        <v>16</v>
      </c>
    </row>
    <row r="11" spans="1:12" ht="15.75" x14ac:dyDescent="0.25">
      <c r="A11" s="4" t="s">
        <v>27</v>
      </c>
      <c r="B11" s="6" t="s">
        <v>10</v>
      </c>
      <c r="C11" s="4" t="s">
        <v>16</v>
      </c>
      <c r="E11" s="10"/>
      <c r="F11" s="3" t="s">
        <v>42</v>
      </c>
      <c r="G11" s="3" t="s">
        <v>41</v>
      </c>
      <c r="H11" s="3" t="s">
        <v>43</v>
      </c>
      <c r="I11" s="3" t="s">
        <v>44</v>
      </c>
      <c r="J11" s="3" t="s">
        <v>45</v>
      </c>
      <c r="K11" s="3" t="s">
        <v>39</v>
      </c>
      <c r="L11" s="3" t="s">
        <v>40</v>
      </c>
    </row>
    <row r="12" spans="1:12" ht="15.75" x14ac:dyDescent="0.25">
      <c r="A12" s="4" t="s">
        <v>28</v>
      </c>
      <c r="B12" s="8" t="s">
        <v>13</v>
      </c>
      <c r="C12" s="4" t="s">
        <v>16</v>
      </c>
      <c r="E12" s="13" t="s">
        <v>57</v>
      </c>
      <c r="F12" s="4">
        <v>3</v>
      </c>
      <c r="G12" s="4">
        <v>3</v>
      </c>
      <c r="H12" s="4">
        <f>G12+F12</f>
        <v>6</v>
      </c>
      <c r="I12" s="4">
        <f>F12/H12</f>
        <v>0.5</v>
      </c>
      <c r="J12" s="4">
        <f>G12/H12</f>
        <v>0.5</v>
      </c>
      <c r="K12" s="4">
        <f>LOG(I12,2)</f>
        <v>-1</v>
      </c>
      <c r="L12" s="4">
        <f>LOG(J12,2)</f>
        <v>-1</v>
      </c>
    </row>
    <row r="13" spans="1:12" ht="20.25" x14ac:dyDescent="0.3">
      <c r="A13" s="4" t="s">
        <v>29</v>
      </c>
      <c r="B13" s="8" t="s">
        <v>13</v>
      </c>
      <c r="C13" s="4" t="s">
        <v>16</v>
      </c>
      <c r="E13" s="3" t="s">
        <v>37</v>
      </c>
      <c r="F13" s="18" t="s">
        <v>46</v>
      </c>
      <c r="G13" s="19"/>
      <c r="H13" s="19"/>
      <c r="I13" s="19"/>
      <c r="J13" s="19"/>
      <c r="K13" s="20"/>
      <c r="L13" s="12">
        <f>-I12*K12-J12*L12</f>
        <v>1</v>
      </c>
    </row>
    <row r="14" spans="1:12" ht="15.75" x14ac:dyDescent="0.25">
      <c r="A14" s="4" t="s">
        <v>30</v>
      </c>
      <c r="B14" s="6" t="s">
        <v>10</v>
      </c>
      <c r="C14" s="4" t="s">
        <v>16</v>
      </c>
    </row>
    <row r="15" spans="1:12" ht="20.25" x14ac:dyDescent="0.3">
      <c r="A15" s="4" t="s">
        <v>31</v>
      </c>
      <c r="B15" s="8" t="s">
        <v>13</v>
      </c>
      <c r="C15" s="4" t="s">
        <v>11</v>
      </c>
      <c r="E15" s="3" t="s">
        <v>50</v>
      </c>
      <c r="F15" s="21"/>
      <c r="G15" s="22"/>
      <c r="H15" s="22"/>
      <c r="I15" s="22"/>
      <c r="J15" s="22"/>
      <c r="K15" s="23"/>
      <c r="L15" s="12">
        <f>Raw!O3-Wind!H3*Wind!L8-Wind!H4*Wind!L13</f>
        <v>4.8127030408269322E-2</v>
      </c>
    </row>
  </sheetData>
  <mergeCells count="3">
    <mergeCell ref="F8:K8"/>
    <mergeCell ref="F13:K13"/>
    <mergeCell ref="F15:K15"/>
  </mergeCells>
  <conditionalFormatting sqref="A1:C15">
    <cfRule type="containsText" dxfId="2" priority="4" operator="containsText" text="no">
      <formula>NOT(ISERROR(SEARCH("no",A1)))</formula>
    </cfRule>
  </conditionalFormatting>
  <conditionalFormatting sqref="F8">
    <cfRule type="containsText" dxfId="1" priority="2" operator="containsText" text="no">
      <formula>NOT(ISERROR(SEARCH("no",F8)))</formula>
    </cfRule>
  </conditionalFormatting>
  <conditionalFormatting sqref="F13">
    <cfRule type="containsText" dxfId="0" priority="1" operator="containsText" text="no">
      <formula>NOT(ISERROR(SEARCH("no",F13)))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8748-531B-484F-8201-1F283B8B5FD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python</vt:lpstr>
      <vt:lpstr>test</vt:lpstr>
      <vt:lpstr>tree</vt:lpstr>
      <vt:lpstr>Raw</vt:lpstr>
      <vt:lpstr>Outlook</vt:lpstr>
      <vt:lpstr>Temp</vt:lpstr>
      <vt:lpstr>Humid</vt:lpstr>
      <vt:lpstr>Wind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mwangi</dc:creator>
  <cp:lastModifiedBy>julius mwangi</cp:lastModifiedBy>
  <dcterms:created xsi:type="dcterms:W3CDTF">2022-06-09T19:01:15Z</dcterms:created>
  <dcterms:modified xsi:type="dcterms:W3CDTF">2022-06-12T05:05:31Z</dcterms:modified>
</cp:coreProperties>
</file>